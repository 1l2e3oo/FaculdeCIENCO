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-120" yWindow="-120" windowWidth="29040" windowHeight="15840"/>
  </bookViews>
  <sheets>
    <sheet name="DMST" sheetId="1" r:id="rId1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" i="1" l="1"/>
  <c r="B6" i="1" l="1"/>
  <c r="B19" i="1" s="1"/>
  <c r="A19" i="1" l="1"/>
</calcChain>
</file>

<file path=xl/sharedStrings.xml><?xml version="1.0" encoding="utf-8"?>
<sst xmlns="http://schemas.openxmlformats.org/spreadsheetml/2006/main" count="90" uniqueCount="67">
  <si>
    <t>Ruim</t>
  </si>
  <si>
    <t>Bom</t>
  </si>
  <si>
    <t>Regular</t>
  </si>
  <si>
    <t>Ótimo</t>
  </si>
  <si>
    <t>Resultado</t>
  </si>
  <si>
    <t>Categoria</t>
  </si>
  <si>
    <t>Máximo</t>
  </si>
  <si>
    <t>Mostrador</t>
  </si>
  <si>
    <t>Amplitude</t>
  </si>
  <si>
    <t>Agulha</t>
  </si>
  <si>
    <t>Base</t>
  </si>
  <si>
    <t>Extremidade</t>
  </si>
  <si>
    <t>Alt 1</t>
  </si>
  <si>
    <t>Alt 2</t>
  </si>
  <si>
    <t>Alt 3</t>
  </si>
  <si>
    <t>Alt 4</t>
  </si>
  <si>
    <t>Alt 5</t>
  </si>
  <si>
    <t>Alt 6</t>
  </si>
  <si>
    <t>Alt 7</t>
  </si>
  <si>
    <t>Alt 8</t>
  </si>
  <si>
    <t>Alt 9</t>
  </si>
  <si>
    <t>Alt 10</t>
  </si>
  <si>
    <t>Excelente</t>
  </si>
  <si>
    <t>Atuar</t>
  </si>
  <si>
    <t>Não Alterar</t>
  </si>
  <si>
    <t>Alt</t>
  </si>
  <si>
    <t>5 atitudes geram 10 pontos ou 1,0</t>
  </si>
  <si>
    <t>10=1,0</t>
  </si>
  <si>
    <t>Alternativa 1</t>
  </si>
  <si>
    <t>Alternativas</t>
  </si>
  <si>
    <t>Dificuldade</t>
  </si>
  <si>
    <t>Atitudes</t>
  </si>
  <si>
    <t>Alternativa 2</t>
  </si>
  <si>
    <t>Alternativa 3</t>
  </si>
  <si>
    <t>Alternativa 4</t>
  </si>
  <si>
    <t>Alternativa 5</t>
  </si>
  <si>
    <t>Alternativa 6</t>
  </si>
  <si>
    <t>Alternativa 7</t>
  </si>
  <si>
    <t>Alternativa 8</t>
  </si>
  <si>
    <t>Alternativa 9</t>
  </si>
  <si>
    <t>Alternativa 10</t>
  </si>
  <si>
    <t>Notas</t>
  </si>
  <si>
    <t>AHP</t>
  </si>
  <si>
    <t>Delphi</t>
  </si>
  <si>
    <t>Software R e R Studio</t>
  </si>
  <si>
    <t>Telemedicina</t>
  </si>
  <si>
    <t>Power BI</t>
  </si>
  <si>
    <t>Copywriting</t>
  </si>
  <si>
    <t>Ffintechs</t>
  </si>
  <si>
    <t>Machine Learning</t>
  </si>
  <si>
    <t>Criação de Scripts de Automação</t>
  </si>
  <si>
    <t>SAP</t>
  </si>
  <si>
    <t>Excel</t>
  </si>
  <si>
    <t>Internet of Things (IoT)</t>
  </si>
  <si>
    <t>Fluência de outro idioma</t>
  </si>
  <si>
    <t>Desenvolvimento de Aplicativos Mobile</t>
  </si>
  <si>
    <t>Cloud Computing</t>
  </si>
  <si>
    <t>Phyton</t>
  </si>
  <si>
    <t>Considerar cada atitute tomada como 2 pontos (0,2)</t>
  </si>
  <si>
    <t>1 - Curso</t>
  </si>
  <si>
    <t>2 - Equipe de Estudo</t>
  </si>
  <si>
    <t>3 - Livro</t>
  </si>
  <si>
    <t>4 - Apostila</t>
  </si>
  <si>
    <t>5 - Vídeos</t>
  </si>
  <si>
    <t>Fintechs</t>
  </si>
  <si>
    <t>1 - Ler Artigo</t>
  </si>
  <si>
    <t>2 - Ter acesso ao programa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</si>
</sst>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0.0"/>
    <numFmt numFmtId="166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/>
  </cellStyleXfs>
  <cellXfs count="41">
    <xf numFmtId="0" fontId="0" fillId="0" borderId="0" xfId="0"/>
    <xf numFmtId="164" fontId="0" fillId="0" borderId="0" xfId="1" applyFont="1"/>
    <xf numFmtId="0" fontId="0" fillId="0" borderId="1" xfId="0" applyBorder="1"/>
    <xf numFmtId="0" fontId="0" fillId="0" borderId="0" xfId="0" applyAlignment="1"/>
    <xf numFmtId="0" fontId="0" fillId="0" borderId="2" xfId="0" applyBorder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0" xfId="0" applyAlignment="1">
      <alignment vertical="center" wrapText="1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Border="1"/>
    <xf numFmtId="0" fontId="4" fillId="0" borderId="0" xfId="2" applyFont="1" applyFill="1" applyBorder="1"/>
    <xf numFmtId="10" fontId="0" fillId="0" borderId="0" xfId="0" applyNumberFormat="1" applyFill="1" applyBorder="1" applyAlignment="1">
      <alignment vertical="center" wrapText="1"/>
    </xf>
    <xf numFmtId="10" fontId="0" fillId="0" borderId="0" xfId="0" applyNumberFormat="1" applyFill="1" applyBorder="1"/>
    <xf numFmtId="0" fontId="2" fillId="0" borderId="5" xfId="0" applyFont="1" applyFill="1" applyBorder="1"/>
    <xf numFmtId="0" fontId="2" fillId="0" borderId="6" xfId="0" applyFont="1" applyFill="1" applyBorder="1"/>
    <xf numFmtId="0" fontId="2" fillId="0" borderId="4" xfId="0" applyFont="1" applyFill="1" applyBorder="1"/>
    <xf numFmtId="166" fontId="5" fillId="0" borderId="8" xfId="2" applyNumberFormat="1" applyFont="1" applyFill="1" applyBorder="1" applyAlignment="1">
      <alignment horizontal="center"/>
    </xf>
    <xf numFmtId="166" fontId="5" fillId="0" borderId="9" xfId="2" applyNumberFormat="1" applyFont="1" applyFill="1" applyBorder="1" applyAlignment="1">
      <alignment horizontal="center"/>
    </xf>
    <xf numFmtId="166" fontId="5" fillId="0" borderId="10" xfId="2" applyNumberFormat="1" applyFont="1" applyFill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3">
    <cellStyle name="Normal" xfId="0" builtinId="0"/>
    <cellStyle name="Normal 2" xfId="2"/>
    <cellStyle name="Vírgula" xfId="1" builtinId="3"/>
  </cellStyles>
  <dxfs count="0"/>
  <tableStyles count="0" defaultTableStyle="TableStyleMedium9" defaultPivotStyle="PivotStyleLight16"/>
  <colors>
    <mruColors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055555555555557"/>
          <c:y val="5.0925925925925923E-2"/>
          <c:w val="0.5805555555555556"/>
          <c:h val="0.9490740740740740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28F-4C40-830C-74F7461BD050}"/>
              </c:ext>
            </c:extLst>
          </c:dPt>
          <c:dPt>
            <c:idx val="5"/>
            <c:bubble3D val="0"/>
            <c:spPr>
              <a:solidFill>
                <a:srgbClr val="0066C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28F-4C40-830C-74F7461BD05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DMST!$A$9:$A$14</c:f>
              <c:strCache>
                <c:ptCount val="6"/>
                <c:pt idx="1">
                  <c:v>Ruim</c:v>
                </c:pt>
                <c:pt idx="2">
                  <c:v>Regular</c:v>
                </c:pt>
                <c:pt idx="3">
                  <c:v>Bom</c:v>
                </c:pt>
                <c:pt idx="4">
                  <c:v>Excelente</c:v>
                </c:pt>
                <c:pt idx="5">
                  <c:v>Atuar</c:v>
                </c:pt>
              </c:strCache>
            </c:strRef>
          </c:cat>
          <c:val>
            <c:numRef>
              <c:f>DMST!$B$9:$B$14</c:f>
              <c:numCache>
                <c:formatCode>_(* #,##0.00_);_(* \(#,##0.00\);_(* "-"??_);_(@_)</c:formatCode>
                <c:ptCount val="6"/>
                <c:pt idx="0">
                  <c:v>10</c:v>
                </c:pt>
                <c:pt idx="1">
                  <c:v>3</c:v>
                </c:pt>
                <c:pt idx="2">
                  <c:v>2.5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28F-4C40-830C-74F7461BD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DMST!$A$16</c:f>
              <c:strCache>
                <c:ptCount val="1"/>
                <c:pt idx="0">
                  <c:v>Agulha</c:v>
                </c:pt>
              </c:strCache>
            </c:strRef>
          </c:tx>
          <c:spPr>
            <a:ln w="28575">
              <a:solidFill>
                <a:srgbClr val="333333"/>
              </a:solidFill>
            </a:ln>
          </c:spPr>
          <c:dPt>
            <c:idx val="0"/>
            <c:marker>
              <c:symbol val="circle"/>
              <c:size val="10"/>
              <c:spPr>
                <a:solidFill>
                  <a:srgbClr val="000000"/>
                </a:solidFill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BC6A-4B37-9273-D96DC954F139}"/>
              </c:ext>
            </c:extLst>
          </c:dPt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BC6A-4B37-9273-D96DC954F139}"/>
              </c:ext>
            </c:extLst>
          </c:dPt>
          <c:xVal>
            <c:numRef>
              <c:f>DMST!$A$18:$A$19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DMST!$B$18:$B$19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1.22514845490862E-16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C6A-4B37-9273-D96DC954F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4752304"/>
        <c:axId val="-570661600"/>
      </c:scatterChart>
      <c:valAx>
        <c:axId val="-504752304"/>
        <c:scaling>
          <c:orientation val="minMax"/>
          <c:max val="1"/>
          <c:min val="-1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one"/>
        <c:crossAx val="-570661600"/>
        <c:crosses val="autoZero"/>
        <c:crossBetween val="midCat"/>
        <c:majorUnit val="0.1"/>
      </c:valAx>
      <c:valAx>
        <c:axId val="-570661600"/>
        <c:scaling>
          <c:orientation val="minMax"/>
          <c:max val="1"/>
        </c:scaling>
        <c:delete val="1"/>
        <c:axPos val="l"/>
        <c:numFmt formatCode="_(* #,##0.00_);_(* \(#,##0.00\);_(* &quot;-&quot;??_);_(@_)" sourceLinked="1"/>
        <c:majorTickMark val="out"/>
        <c:minorTickMark val="none"/>
        <c:tickLblPos val="none"/>
        <c:crossAx val="-504752304"/>
        <c:crosses val="autoZero"/>
        <c:crossBetween val="midCat"/>
        <c:majorUnit val="0.1"/>
        <c:minorUnit val="4.0000000000000041E-18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38099</xdr:rowOff>
    </xdr:from>
    <xdr:to>
      <xdr:col>11</xdr:col>
      <xdr:colOff>466725</xdr:colOff>
      <xdr:row>21</xdr:row>
      <xdr:rowOff>123824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pSpPr/>
      </xdr:nvGrpSpPr>
      <xdr:grpSpPr>
        <a:xfrm>
          <a:off x="1409700" y="38099"/>
          <a:ext cx="6076950" cy="4219575"/>
          <a:chOff x="1676400" y="142874"/>
          <a:chExt cx="6076950" cy="389572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xmlns="" id="{00000000-0008-0000-0000-000002000000}"/>
              </a:ext>
            </a:extLst>
          </xdr:cNvPr>
          <xdr:cNvGraphicFramePr/>
        </xdr:nvGraphicFramePr>
        <xdr:xfrm>
          <a:off x="1676400" y="142874"/>
          <a:ext cx="6076950" cy="3895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GraphicFramePr/>
        </xdr:nvGraphicFramePr>
        <xdr:xfrm>
          <a:off x="3352800" y="704850"/>
          <a:ext cx="3009900" cy="16097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13</xdr:col>
      <xdr:colOff>190500</xdr:colOff>
      <xdr:row>0</xdr:row>
      <xdr:rowOff>66675</xdr:rowOff>
    </xdr:from>
    <xdr:to>
      <xdr:col>13</xdr:col>
      <xdr:colOff>447675</xdr:colOff>
      <xdr:row>1</xdr:row>
      <xdr:rowOff>142876</xdr:rowOff>
    </xdr:to>
    <xdr:sp macro="" textlink="">
      <xdr:nvSpPr>
        <xdr:cNvPr id="3" name="Seta: para Baixo 2">
          <a:extLst>
            <a:ext uri="{FF2B5EF4-FFF2-40B4-BE49-F238E27FC236}">
              <a16:creationId xmlns:a16="http://schemas.microsoft.com/office/drawing/2014/main" xmlns="" id="{F2DCECD3-8D16-4346-BE2A-523ADE34A115}"/>
            </a:ext>
          </a:extLst>
        </xdr:cNvPr>
        <xdr:cNvSpPr/>
      </xdr:nvSpPr>
      <xdr:spPr>
        <a:xfrm>
          <a:off x="8391525" y="66675"/>
          <a:ext cx="257175" cy="266701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</xdr:colOff>
      <xdr:row>2</xdr:row>
      <xdr:rowOff>28575</xdr:rowOff>
    </xdr:from>
    <xdr:to>
      <xdr:col>18</xdr:col>
      <xdr:colOff>381001</xdr:colOff>
      <xdr:row>3</xdr:row>
      <xdr:rowOff>133350</xdr:rowOff>
    </xdr:to>
    <xdr:sp macro="" textlink="">
      <xdr:nvSpPr>
        <xdr:cNvPr id="4" name="Seta: para a Esquerda 3">
          <a:extLst>
            <a:ext uri="{FF2B5EF4-FFF2-40B4-BE49-F238E27FC236}">
              <a16:creationId xmlns:a16="http://schemas.microsoft.com/office/drawing/2014/main" xmlns="" id="{61A3E898-E9CD-4861-92D1-F4716519085A}"/>
            </a:ext>
          </a:extLst>
        </xdr:cNvPr>
        <xdr:cNvSpPr/>
      </xdr:nvSpPr>
      <xdr:spPr>
        <a:xfrm>
          <a:off x="9420226" y="409575"/>
          <a:ext cx="3314700" cy="295275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8"/>
  <sheetViews>
    <sheetView showGridLines="0" tabSelected="1" topLeftCell="I4" workbookViewId="0">
      <selection activeCell="P21" sqref="P21"/>
    </sheetView>
  </sheetViews>
  <sheetFormatPr defaultRowHeight="15" x14ac:dyDescent="0.25"/>
  <cols>
    <col min="1" max="1" width="9.85546875" bestFit="1" customWidth="1"/>
    <col min="2" max="2" width="13.140625" customWidth="1"/>
    <col min="13" max="13" width="8.5703125" customWidth="1"/>
    <col min="16" max="16" width="22.5703125" customWidth="1"/>
    <col min="17" max="17" width="10" customWidth="1"/>
    <col min="20" max="20" width="13.5703125" customWidth="1"/>
    <col min="21" max="21" width="14.7109375" customWidth="1"/>
    <col min="22" max="22" width="24.28515625" customWidth="1"/>
    <col min="23" max="23" width="7.7109375" customWidth="1"/>
  </cols>
  <sheetData>
    <row r="1" spans="1:23" x14ac:dyDescent="0.25">
      <c r="A1" t="s">
        <v>5</v>
      </c>
      <c r="B1" t="s">
        <v>6</v>
      </c>
    </row>
    <row r="2" spans="1:23" x14ac:dyDescent="0.25">
      <c r="A2" t="s">
        <v>0</v>
      </c>
      <c r="B2" s="1">
        <v>4</v>
      </c>
    </row>
    <row r="3" spans="1:23" x14ac:dyDescent="0.25">
      <c r="A3" t="s">
        <v>2</v>
      </c>
      <c r="B3" s="1">
        <v>6.5</v>
      </c>
      <c r="M3" t="s">
        <v>12</v>
      </c>
      <c r="N3" s="4">
        <v>1</v>
      </c>
      <c r="O3" s="5"/>
      <c r="S3" s="5"/>
      <c r="T3" t="s">
        <v>58</v>
      </c>
    </row>
    <row r="4" spans="1:23" x14ac:dyDescent="0.25">
      <c r="A4" t="s">
        <v>1</v>
      </c>
      <c r="B4" s="1">
        <v>9</v>
      </c>
      <c r="M4" t="s">
        <v>13</v>
      </c>
      <c r="N4" s="4">
        <v>1</v>
      </c>
      <c r="O4" s="5"/>
      <c r="S4" s="5"/>
      <c r="T4" t="s">
        <v>26</v>
      </c>
    </row>
    <row r="5" spans="1:23" x14ac:dyDescent="0.25">
      <c r="A5" t="s">
        <v>3</v>
      </c>
      <c r="B5" s="1">
        <v>10</v>
      </c>
      <c r="M5" t="s">
        <v>14</v>
      </c>
      <c r="N5" s="4">
        <v>1</v>
      </c>
      <c r="O5" s="5"/>
      <c r="S5" s="5"/>
    </row>
    <row r="6" spans="1:23" ht="15.75" thickBot="1" x14ac:dyDescent="0.3">
      <c r="A6" t="s">
        <v>4</v>
      </c>
      <c r="B6" s="1">
        <f>I26</f>
        <v>10</v>
      </c>
      <c r="M6" t="s">
        <v>15</v>
      </c>
      <c r="N6" s="4">
        <v>1</v>
      </c>
      <c r="O6" s="5"/>
      <c r="S6" s="5"/>
      <c r="U6" t="s">
        <v>27</v>
      </c>
    </row>
    <row r="7" spans="1:23" ht="15.75" thickBot="1" x14ac:dyDescent="0.3">
      <c r="B7" s="1"/>
      <c r="M7" t="s">
        <v>16</v>
      </c>
      <c r="N7" s="4">
        <v>1</v>
      </c>
      <c r="O7" s="5"/>
      <c r="S7" s="5"/>
      <c r="T7" s="17" t="s">
        <v>29</v>
      </c>
      <c r="U7" s="18" t="s">
        <v>30</v>
      </c>
      <c r="V7" s="19" t="s">
        <v>31</v>
      </c>
      <c r="W7" s="20" t="s">
        <v>41</v>
      </c>
    </row>
    <row r="8" spans="1:23" ht="15.75" thickBot="1" x14ac:dyDescent="0.3">
      <c r="A8" t="s">
        <v>7</v>
      </c>
      <c r="B8" t="s">
        <v>8</v>
      </c>
      <c r="M8" t="s">
        <v>17</v>
      </c>
      <c r="N8" s="4">
        <v>1</v>
      </c>
      <c r="O8" s="5"/>
      <c r="S8" s="5"/>
      <c r="T8" s="35" t="s">
        <v>28</v>
      </c>
      <c r="U8" s="38" t="s">
        <v>44</v>
      </c>
      <c r="V8" s="10" t="s">
        <v>59</v>
      </c>
      <c r="W8" s="31">
        <v>0.2</v>
      </c>
    </row>
    <row r="9" spans="1:23" ht="15.75" thickBot="1" x14ac:dyDescent="0.3">
      <c r="B9" s="1">
        <v>10</v>
      </c>
      <c r="M9" t="s">
        <v>18</v>
      </c>
      <c r="N9" s="4">
        <v>1</v>
      </c>
      <c r="O9" s="5"/>
      <c r="S9" s="5"/>
      <c r="T9" s="36"/>
      <c r="U9" s="39"/>
      <c r="V9" s="11" t="s">
        <v>60</v>
      </c>
      <c r="W9" s="31">
        <v>0</v>
      </c>
    </row>
    <row r="10" spans="1:23" ht="15.75" thickBot="1" x14ac:dyDescent="0.3">
      <c r="A10" t="s">
        <v>0</v>
      </c>
      <c r="B10" s="1">
        <v>3</v>
      </c>
      <c r="M10" t="s">
        <v>19</v>
      </c>
      <c r="N10" s="4">
        <v>1</v>
      </c>
      <c r="O10" s="5"/>
      <c r="S10" s="5"/>
      <c r="T10" s="36"/>
      <c r="U10" s="39"/>
      <c r="V10" s="11" t="s">
        <v>61</v>
      </c>
      <c r="W10" s="31">
        <v>0</v>
      </c>
    </row>
    <row r="11" spans="1:23" ht="15" customHeight="1" thickBot="1" x14ac:dyDescent="0.3">
      <c r="A11" t="s">
        <v>2</v>
      </c>
      <c r="B11" s="1">
        <v>2.5</v>
      </c>
      <c r="M11" t="s">
        <v>20</v>
      </c>
      <c r="N11" s="4">
        <v>1</v>
      </c>
      <c r="O11" s="5"/>
      <c r="S11" s="5"/>
      <c r="T11" s="36"/>
      <c r="U11" s="39"/>
      <c r="V11" s="11" t="s">
        <v>62</v>
      </c>
      <c r="W11" s="31">
        <v>0</v>
      </c>
    </row>
    <row r="12" spans="1:23" ht="15.75" thickBot="1" x14ac:dyDescent="0.3">
      <c r="A12" t="s">
        <v>1</v>
      </c>
      <c r="B12" s="1">
        <v>1.5</v>
      </c>
      <c r="M12" t="s">
        <v>21</v>
      </c>
      <c r="N12" s="4">
        <v>1</v>
      </c>
      <c r="O12" s="5"/>
      <c r="S12" s="5"/>
      <c r="T12" s="37"/>
      <c r="U12" s="40"/>
      <c r="V12" s="12" t="s">
        <v>63</v>
      </c>
      <c r="W12" s="31">
        <v>0</v>
      </c>
    </row>
    <row r="13" spans="1:23" ht="15.75" thickBot="1" x14ac:dyDescent="0.3">
      <c r="A13" t="s">
        <v>22</v>
      </c>
      <c r="B13" s="1">
        <v>1.5</v>
      </c>
      <c r="T13" s="35" t="s">
        <v>32</v>
      </c>
      <c r="U13" s="38" t="s">
        <v>45</v>
      </c>
      <c r="V13" s="14" t="s">
        <v>65</v>
      </c>
      <c r="W13" s="31">
        <v>0.5</v>
      </c>
    </row>
    <row r="14" spans="1:23" ht="15.75" thickBot="1" x14ac:dyDescent="0.3">
      <c r="A14" t="s">
        <v>23</v>
      </c>
      <c r="B14" s="1">
        <v>1.5</v>
      </c>
      <c r="T14" s="36"/>
      <c r="U14" s="39"/>
      <c r="V14" s="15" t="s">
        <v>66</v>
      </c>
      <c r="W14" s="31">
        <v>0.5</v>
      </c>
    </row>
    <row r="15" spans="1:23" ht="15.75" thickBot="1" x14ac:dyDescent="0.3">
      <c r="M15" s="8"/>
      <c r="N15" s="8"/>
      <c r="O15" s="9"/>
      <c r="P15" s="9"/>
      <c r="Q15" s="9"/>
      <c r="R15" s="9"/>
      <c r="S15" s="9"/>
      <c r="T15" s="36"/>
      <c r="U15" s="39"/>
      <c r="V15" s="15"/>
      <c r="W15" s="31">
        <v>0</v>
      </c>
    </row>
    <row r="16" spans="1:23" ht="15" customHeight="1" thickBot="1" x14ac:dyDescent="0.3">
      <c r="A16" t="s">
        <v>9</v>
      </c>
      <c r="O16" s="13"/>
      <c r="P16" s="13"/>
      <c r="Q16" s="13"/>
      <c r="R16" s="13"/>
      <c r="S16" s="13"/>
      <c r="T16" s="36"/>
      <c r="U16" s="39"/>
      <c r="V16" s="15"/>
      <c r="W16" s="31">
        <v>0</v>
      </c>
    </row>
    <row r="17" spans="1:23" ht="15.75" thickBot="1" x14ac:dyDescent="0.3">
      <c r="A17" t="s">
        <v>10</v>
      </c>
      <c r="B17" t="s">
        <v>11</v>
      </c>
      <c r="O17" s="13"/>
      <c r="P17" s="13"/>
      <c r="Q17" s="13"/>
      <c r="R17" s="13"/>
      <c r="S17" s="13"/>
      <c r="T17" s="37"/>
      <c r="U17" s="40"/>
      <c r="V17" s="16"/>
      <c r="W17" s="31">
        <v>0</v>
      </c>
    </row>
    <row r="18" spans="1:23" ht="15.75" thickBot="1" x14ac:dyDescent="0.3">
      <c r="A18" s="1">
        <v>0</v>
      </c>
      <c r="B18" s="1">
        <v>0</v>
      </c>
      <c r="N18" t="s">
        <v>25</v>
      </c>
      <c r="O18" s="10">
        <v>1</v>
      </c>
      <c r="P18" s="25" t="s">
        <v>44</v>
      </c>
      <c r="Q18" s="28">
        <v>1.1708021214605494E-2</v>
      </c>
      <c r="R18" s="24"/>
      <c r="T18" s="35" t="s">
        <v>33</v>
      </c>
      <c r="U18" s="38"/>
      <c r="V18" s="10"/>
      <c r="W18" s="31">
        <v>0</v>
      </c>
    </row>
    <row r="19" spans="1:23" ht="15.75" thickBot="1" x14ac:dyDescent="0.3">
      <c r="A19" s="1">
        <f>- COS(PI() * ABS($B$6 / $B$9))</f>
        <v>1</v>
      </c>
      <c r="B19" s="1">
        <f>SIN(PI() * ABS($B$6 / $B$9))</f>
        <v>1.22514845490862E-16</v>
      </c>
      <c r="N19" t="s">
        <v>25</v>
      </c>
      <c r="O19" s="11">
        <v>2</v>
      </c>
      <c r="P19" s="26" t="s">
        <v>45</v>
      </c>
      <c r="Q19" s="29">
        <v>1.6229477835079983E-2</v>
      </c>
      <c r="R19" s="23"/>
      <c r="T19" s="36"/>
      <c r="U19" s="39"/>
      <c r="V19" s="11"/>
      <c r="W19" s="31">
        <v>0</v>
      </c>
    </row>
    <row r="20" spans="1:23" ht="15.75" thickBot="1" x14ac:dyDescent="0.3">
      <c r="N20" t="s">
        <v>25</v>
      </c>
      <c r="O20" s="11">
        <v>3</v>
      </c>
      <c r="P20" s="26" t="s">
        <v>46</v>
      </c>
      <c r="Q20" s="29">
        <v>1.8773852179451812E-2</v>
      </c>
      <c r="R20" s="23"/>
      <c r="T20" s="36"/>
      <c r="U20" s="39"/>
      <c r="V20" s="11"/>
      <c r="W20" s="31">
        <v>0</v>
      </c>
    </row>
    <row r="21" spans="1:23" ht="15.75" thickBot="1" x14ac:dyDescent="0.3">
      <c r="N21" t="s">
        <v>25</v>
      </c>
      <c r="O21" s="11">
        <v>4</v>
      </c>
      <c r="P21" s="26" t="s">
        <v>47</v>
      </c>
      <c r="Q21" s="29">
        <v>2.3164701389808227E-2</v>
      </c>
      <c r="R21" s="23"/>
      <c r="T21" s="36"/>
      <c r="U21" s="39"/>
      <c r="V21" s="11"/>
      <c r="W21" s="31">
        <v>0</v>
      </c>
    </row>
    <row r="22" spans="1:23" ht="15.75" thickBot="1" x14ac:dyDescent="0.3">
      <c r="A22" s="32">
        <v>0</v>
      </c>
      <c r="B22" t="s">
        <v>24</v>
      </c>
      <c r="N22" t="s">
        <v>25</v>
      </c>
      <c r="O22" s="11">
        <v>5</v>
      </c>
      <c r="P22" s="26" t="s">
        <v>64</v>
      </c>
      <c r="Q22" s="29">
        <v>2.8866859733644203E-2</v>
      </c>
      <c r="R22" s="23"/>
      <c r="T22" s="37"/>
      <c r="U22" s="40"/>
      <c r="V22" s="12"/>
      <c r="W22" s="31">
        <v>0</v>
      </c>
    </row>
    <row r="23" spans="1:23" ht="15.75" thickBot="1" x14ac:dyDescent="0.3">
      <c r="A23" s="33">
        <v>0.1</v>
      </c>
      <c r="N23" t="s">
        <v>25</v>
      </c>
      <c r="O23" s="11">
        <v>6</v>
      </c>
      <c r="P23" s="26" t="s">
        <v>49</v>
      </c>
      <c r="Q23" s="29">
        <v>4.6347267312677146E-2</v>
      </c>
      <c r="R23" s="23"/>
      <c r="T23" s="35" t="s">
        <v>34</v>
      </c>
      <c r="U23" s="38"/>
      <c r="V23" s="10"/>
      <c r="W23" s="31">
        <v>0</v>
      </c>
    </row>
    <row r="24" spans="1:23" ht="15.75" thickBot="1" x14ac:dyDescent="0.3">
      <c r="A24" s="33">
        <v>0.2</v>
      </c>
      <c r="N24" t="s">
        <v>25</v>
      </c>
      <c r="O24" s="11">
        <v>7</v>
      </c>
      <c r="P24" s="26" t="s">
        <v>50</v>
      </c>
      <c r="Q24" s="29">
        <v>5.7587172403901682E-2</v>
      </c>
      <c r="R24" s="23"/>
      <c r="T24" s="36"/>
      <c r="U24" s="39"/>
      <c r="V24" s="11"/>
      <c r="W24" s="31">
        <v>0</v>
      </c>
    </row>
    <row r="25" spans="1:23" ht="15.75" thickBot="1" x14ac:dyDescent="0.3">
      <c r="A25" s="33">
        <v>0.3</v>
      </c>
      <c r="N25" t="s">
        <v>25</v>
      </c>
      <c r="O25" s="11">
        <v>8</v>
      </c>
      <c r="P25" s="26" t="s">
        <v>51</v>
      </c>
      <c r="Q25" s="29">
        <v>5.7587172403901682E-2</v>
      </c>
      <c r="R25" s="23"/>
      <c r="T25" s="36"/>
      <c r="U25" s="39"/>
      <c r="V25" s="11"/>
      <c r="W25" s="31">
        <v>0</v>
      </c>
    </row>
    <row r="26" spans="1:23" ht="16.5" thickTop="1" thickBot="1" x14ac:dyDescent="0.3">
      <c r="A26" s="33">
        <v>0.4</v>
      </c>
      <c r="I26" s="2">
        <f>SUM(N3:N12)</f>
        <v>10</v>
      </c>
      <c r="N26" t="s">
        <v>25</v>
      </c>
      <c r="O26" s="11">
        <v>9</v>
      </c>
      <c r="P26" s="26" t="s">
        <v>52</v>
      </c>
      <c r="Q26" s="29">
        <v>5.7587172403901682E-2</v>
      </c>
      <c r="R26" s="23"/>
      <c r="T26" s="36"/>
      <c r="U26" s="39"/>
      <c r="V26" s="11"/>
      <c r="W26" s="31">
        <v>0</v>
      </c>
    </row>
    <row r="27" spans="1:23" ht="16.5" thickTop="1" thickBot="1" x14ac:dyDescent="0.3">
      <c r="A27" s="33">
        <v>0.5</v>
      </c>
      <c r="N27" t="s">
        <v>25</v>
      </c>
      <c r="O27" s="12">
        <v>10</v>
      </c>
      <c r="P27" s="27" t="s">
        <v>53</v>
      </c>
      <c r="Q27" s="30">
        <v>0.10050118897632475</v>
      </c>
      <c r="R27" s="23"/>
      <c r="T27" s="37"/>
      <c r="U27" s="40"/>
      <c r="V27" s="12"/>
      <c r="W27" s="31">
        <v>0</v>
      </c>
    </row>
    <row r="28" spans="1:23" ht="15.75" thickBot="1" x14ac:dyDescent="0.3">
      <c r="A28" s="33">
        <v>0.6</v>
      </c>
      <c r="G28" s="6"/>
      <c r="P28" s="21"/>
      <c r="Q28" s="22"/>
      <c r="R28" s="23"/>
      <c r="T28" s="35" t="s">
        <v>35</v>
      </c>
      <c r="U28" s="38"/>
      <c r="V28" s="10"/>
      <c r="W28" s="31">
        <v>0</v>
      </c>
    </row>
    <row r="29" spans="1:23" ht="15.75" thickBot="1" x14ac:dyDescent="0.3">
      <c r="A29" s="33">
        <v>0.7</v>
      </c>
      <c r="G29" s="6"/>
      <c r="P29" s="21"/>
      <c r="Q29" s="22"/>
      <c r="R29" s="23"/>
      <c r="T29" s="36"/>
      <c r="U29" s="39"/>
      <c r="V29" s="11"/>
      <c r="W29" s="31">
        <v>0</v>
      </c>
    </row>
    <row r="30" spans="1:23" ht="15.75" thickBot="1" x14ac:dyDescent="0.3">
      <c r="A30" s="33">
        <v>0.8</v>
      </c>
      <c r="G30" s="6"/>
      <c r="P30" s="21"/>
      <c r="Q30" s="22"/>
      <c r="R30" s="23"/>
      <c r="T30" s="36"/>
      <c r="U30" s="39"/>
      <c r="V30" s="11"/>
      <c r="W30" s="31">
        <v>0</v>
      </c>
    </row>
    <row r="31" spans="1:23" ht="15.75" thickBot="1" x14ac:dyDescent="0.3">
      <c r="A31" s="33">
        <v>0.9</v>
      </c>
      <c r="G31" s="6"/>
      <c r="K31" s="6"/>
      <c r="P31" s="21"/>
      <c r="Q31" s="22"/>
      <c r="R31" s="23"/>
      <c r="T31" s="36"/>
      <c r="U31" s="39"/>
      <c r="V31" s="11"/>
      <c r="W31" s="31">
        <v>0</v>
      </c>
    </row>
    <row r="32" spans="1:23" ht="15.75" thickBot="1" x14ac:dyDescent="0.3">
      <c r="A32" s="34">
        <v>1</v>
      </c>
      <c r="G32" s="6"/>
      <c r="K32" s="6"/>
      <c r="P32" s="21"/>
      <c r="Q32" s="22"/>
      <c r="R32" s="23"/>
      <c r="T32" s="37"/>
      <c r="U32" s="40"/>
      <c r="V32" s="12"/>
      <c r="W32" s="31">
        <v>0</v>
      </c>
    </row>
    <row r="33" spans="5:23" ht="15.75" thickBot="1" x14ac:dyDescent="0.3">
      <c r="G33" s="6"/>
      <c r="K33" s="6"/>
      <c r="P33" s="21"/>
      <c r="Q33" s="22"/>
      <c r="R33" s="23"/>
      <c r="T33" s="35" t="s">
        <v>36</v>
      </c>
      <c r="U33" s="38"/>
      <c r="V33" s="10"/>
      <c r="W33" s="31">
        <v>0</v>
      </c>
    </row>
    <row r="34" spans="5:23" ht="15.75" thickBot="1" x14ac:dyDescent="0.3">
      <c r="G34" s="6"/>
      <c r="K34" s="6"/>
      <c r="P34" s="21"/>
      <c r="Q34" s="22"/>
      <c r="R34" s="23"/>
      <c r="T34" s="36"/>
      <c r="U34" s="39"/>
      <c r="V34" s="11"/>
      <c r="W34" s="31">
        <v>0</v>
      </c>
    </row>
    <row r="35" spans="5:23" ht="15.75" thickBot="1" x14ac:dyDescent="0.3">
      <c r="G35" s="7"/>
      <c r="K35" s="6"/>
      <c r="P35" s="21"/>
      <c r="Q35" s="22"/>
      <c r="R35" s="23"/>
      <c r="S35" s="3"/>
      <c r="T35" s="36"/>
      <c r="U35" s="39"/>
      <c r="V35" s="11"/>
      <c r="W35" s="31">
        <v>0</v>
      </c>
    </row>
    <row r="36" spans="5:23" ht="15.75" thickBot="1" x14ac:dyDescent="0.3">
      <c r="G36" s="7"/>
      <c r="K36" s="6"/>
      <c r="P36" s="21"/>
      <c r="Q36" s="22"/>
      <c r="R36" s="23"/>
      <c r="T36" s="36"/>
      <c r="U36" s="39"/>
      <c r="V36" s="11"/>
      <c r="W36" s="31">
        <v>0</v>
      </c>
    </row>
    <row r="37" spans="5:23" ht="15.75" thickBot="1" x14ac:dyDescent="0.3">
      <c r="G37" s="6"/>
      <c r="K37" s="6"/>
      <c r="P37" s="21"/>
      <c r="Q37" s="22"/>
      <c r="R37" s="23"/>
      <c r="T37" s="37"/>
      <c r="U37" s="40"/>
      <c r="V37" s="12"/>
      <c r="W37" s="31">
        <v>0</v>
      </c>
    </row>
    <row r="38" spans="5:23" ht="15.75" thickBot="1" x14ac:dyDescent="0.3">
      <c r="K38" s="6"/>
      <c r="P38" s="21"/>
      <c r="Q38" s="22"/>
      <c r="R38" s="23"/>
      <c r="T38" s="35" t="s">
        <v>37</v>
      </c>
      <c r="U38" s="38"/>
      <c r="V38" s="10"/>
      <c r="W38" s="31">
        <v>0</v>
      </c>
    </row>
    <row r="39" spans="5:23" ht="15.75" thickBot="1" x14ac:dyDescent="0.3">
      <c r="K39" s="6"/>
      <c r="P39" s="21"/>
      <c r="Q39" s="22"/>
      <c r="R39" s="24"/>
      <c r="T39" s="36"/>
      <c r="U39" s="39"/>
      <c r="V39" s="11"/>
      <c r="W39" s="31">
        <v>0</v>
      </c>
    </row>
    <row r="40" spans="5:23" ht="15.75" thickBot="1" x14ac:dyDescent="0.3">
      <c r="I40" s="6"/>
      <c r="J40" s="6"/>
      <c r="K40" s="6"/>
      <c r="P40" s="21"/>
      <c r="Q40" s="22"/>
      <c r="R40" s="23"/>
      <c r="T40" s="36"/>
      <c r="U40" s="39"/>
      <c r="V40" s="11"/>
      <c r="W40" s="31">
        <v>0</v>
      </c>
    </row>
    <row r="41" spans="5:23" ht="15.75" thickBot="1" x14ac:dyDescent="0.3">
      <c r="I41" s="6"/>
      <c r="J41" s="6"/>
      <c r="K41" s="6"/>
      <c r="T41" s="36"/>
      <c r="U41" s="39"/>
      <c r="V41" s="11"/>
      <c r="W41" s="31">
        <v>0</v>
      </c>
    </row>
    <row r="42" spans="5:23" ht="15.75" thickBot="1" x14ac:dyDescent="0.3">
      <c r="I42" s="6"/>
      <c r="J42" s="6"/>
      <c r="T42" s="37"/>
      <c r="U42" s="40"/>
      <c r="V42" s="12"/>
      <c r="W42" s="31">
        <v>0</v>
      </c>
    </row>
    <row r="43" spans="5:23" ht="15.75" thickBot="1" x14ac:dyDescent="0.3">
      <c r="I43" s="6"/>
      <c r="J43" s="6"/>
      <c r="T43" s="35" t="s">
        <v>38</v>
      </c>
      <c r="U43" s="38"/>
      <c r="V43" s="10"/>
      <c r="W43" s="31">
        <v>0</v>
      </c>
    </row>
    <row r="44" spans="5:23" ht="15.75" thickBot="1" x14ac:dyDescent="0.3">
      <c r="F44" t="s">
        <v>42</v>
      </c>
      <c r="G44" t="s">
        <v>43</v>
      </c>
      <c r="I44" s="6"/>
      <c r="J44" s="6"/>
      <c r="T44" s="36"/>
      <c r="U44" s="39"/>
      <c r="V44" s="11"/>
      <c r="W44" s="31">
        <v>0</v>
      </c>
    </row>
    <row r="45" spans="5:23" ht="15.75" thickBot="1" x14ac:dyDescent="0.3">
      <c r="E45" t="s">
        <v>44</v>
      </c>
      <c r="F45">
        <v>1.1708021214605494E-2</v>
      </c>
      <c r="G45">
        <v>8.9020771513353102E-3</v>
      </c>
      <c r="I45" s="6"/>
      <c r="J45" s="6"/>
      <c r="T45" s="36"/>
      <c r="U45" s="39"/>
      <c r="V45" s="11"/>
      <c r="W45" s="31">
        <v>0</v>
      </c>
    </row>
    <row r="46" spans="5:23" ht="15.75" thickBot="1" x14ac:dyDescent="0.3">
      <c r="E46" t="s">
        <v>45</v>
      </c>
      <c r="F46">
        <v>1.6229477835079983E-2</v>
      </c>
      <c r="G46">
        <v>1.780415430267062E-2</v>
      </c>
      <c r="I46" s="6"/>
      <c r="J46" s="6"/>
      <c r="T46" s="36"/>
      <c r="U46" s="39"/>
      <c r="V46" s="11"/>
      <c r="W46" s="31">
        <v>0</v>
      </c>
    </row>
    <row r="47" spans="5:23" ht="15.75" thickBot="1" x14ac:dyDescent="0.3">
      <c r="E47" t="s">
        <v>46</v>
      </c>
      <c r="F47">
        <v>1.8773852179451812E-2</v>
      </c>
      <c r="G47">
        <v>2.0771513353115723E-2</v>
      </c>
      <c r="I47" s="6"/>
      <c r="J47" s="6"/>
      <c r="T47" s="37"/>
      <c r="U47" s="40"/>
      <c r="V47" s="12"/>
      <c r="W47" s="31">
        <v>0</v>
      </c>
    </row>
    <row r="48" spans="5:23" ht="15.75" thickBot="1" x14ac:dyDescent="0.3">
      <c r="E48" t="s">
        <v>47</v>
      </c>
      <c r="F48">
        <v>2.3164701389808227E-2</v>
      </c>
      <c r="G48">
        <v>2.3738872403560825E-2</v>
      </c>
      <c r="I48" s="6"/>
      <c r="J48" s="6"/>
      <c r="T48" s="35" t="s">
        <v>39</v>
      </c>
      <c r="U48" s="38"/>
      <c r="V48" s="10"/>
      <c r="W48" s="31">
        <v>0</v>
      </c>
    </row>
    <row r="49" spans="5:23" ht="15.75" thickBot="1" x14ac:dyDescent="0.3">
      <c r="E49" t="s">
        <v>48</v>
      </c>
      <c r="F49">
        <v>2.8866859733644203E-2</v>
      </c>
      <c r="G49">
        <v>2.670623145400593E-2</v>
      </c>
      <c r="I49" s="6"/>
      <c r="J49" s="6"/>
      <c r="T49" s="36"/>
      <c r="U49" s="39"/>
      <c r="V49" s="11"/>
      <c r="W49" s="31">
        <v>0</v>
      </c>
    </row>
    <row r="50" spans="5:23" ht="15.75" thickBot="1" x14ac:dyDescent="0.3">
      <c r="E50" t="s">
        <v>49</v>
      </c>
      <c r="F50">
        <v>4.6347267312677146E-2</v>
      </c>
      <c r="G50">
        <v>3.5608308605341241E-2</v>
      </c>
      <c r="I50" s="6"/>
      <c r="J50" s="6"/>
      <c r="T50" s="36"/>
      <c r="U50" s="39"/>
      <c r="V50" s="11"/>
      <c r="W50" s="31">
        <v>0</v>
      </c>
    </row>
    <row r="51" spans="5:23" ht="15.75" thickBot="1" x14ac:dyDescent="0.3">
      <c r="E51" t="s">
        <v>50</v>
      </c>
      <c r="F51">
        <v>5.7587172403901682E-2</v>
      </c>
      <c r="G51">
        <v>3.8575667655786336E-2</v>
      </c>
      <c r="T51" s="36"/>
      <c r="U51" s="39"/>
      <c r="V51" s="11"/>
      <c r="W51" s="31">
        <v>0</v>
      </c>
    </row>
    <row r="52" spans="5:23" ht="15.75" thickBot="1" x14ac:dyDescent="0.3">
      <c r="E52" t="s">
        <v>51</v>
      </c>
      <c r="F52">
        <v>5.7587172403901682E-2</v>
      </c>
      <c r="G52">
        <v>3.8575667655786336E-2</v>
      </c>
      <c r="T52" s="37"/>
      <c r="U52" s="40"/>
      <c r="V52" s="12"/>
      <c r="W52" s="31">
        <v>0</v>
      </c>
    </row>
    <row r="53" spans="5:23" ht="15.75" thickBot="1" x14ac:dyDescent="0.3">
      <c r="E53" t="s">
        <v>52</v>
      </c>
      <c r="F53">
        <v>5.7587172403901682E-2</v>
      </c>
      <c r="G53">
        <v>3.8575667655786336E-2</v>
      </c>
      <c r="T53" s="35" t="s">
        <v>40</v>
      </c>
      <c r="U53" s="38"/>
      <c r="V53" s="10"/>
      <c r="W53" s="31">
        <v>0</v>
      </c>
    </row>
    <row r="54" spans="5:23" ht="15.75" thickBot="1" x14ac:dyDescent="0.3">
      <c r="E54" t="s">
        <v>53</v>
      </c>
      <c r="F54">
        <v>0.10050118897632475</v>
      </c>
      <c r="G54">
        <v>4.4510385756676547E-2</v>
      </c>
      <c r="T54" s="36"/>
      <c r="U54" s="39"/>
      <c r="V54" s="11"/>
      <c r="W54" s="31">
        <v>0</v>
      </c>
    </row>
    <row r="55" spans="5:23" ht="15.75" thickBot="1" x14ac:dyDescent="0.3">
      <c r="E55" t="s">
        <v>54</v>
      </c>
      <c r="F55">
        <v>0.10050118897632475</v>
      </c>
      <c r="G55">
        <v>4.4510385756676547E-2</v>
      </c>
      <c r="T55" s="36"/>
      <c r="U55" s="39"/>
      <c r="V55" s="11"/>
      <c r="W55" s="31">
        <v>0</v>
      </c>
    </row>
    <row r="56" spans="5:23" ht="15.75" thickBot="1" x14ac:dyDescent="0.3">
      <c r="E56" t="s">
        <v>55</v>
      </c>
      <c r="F56">
        <v>0.12982544766603094</v>
      </c>
      <c r="G56">
        <v>4.747774480712165E-2</v>
      </c>
      <c r="T56" s="36"/>
      <c r="U56" s="39"/>
      <c r="V56" s="11"/>
      <c r="W56" s="31">
        <v>0</v>
      </c>
    </row>
    <row r="57" spans="5:23" ht="15.75" thickBot="1" x14ac:dyDescent="0.3">
      <c r="E57" t="s">
        <v>56</v>
      </c>
      <c r="F57">
        <v>0.15655056846727095</v>
      </c>
      <c r="G57">
        <v>5.0445103857566759E-2</v>
      </c>
      <c r="T57" s="37"/>
      <c r="U57" s="40"/>
      <c r="V57" s="12"/>
      <c r="W57" s="31">
        <v>0</v>
      </c>
    </row>
    <row r="58" spans="5:23" x14ac:dyDescent="0.25">
      <c r="E58" t="s">
        <v>57</v>
      </c>
      <c r="F58">
        <v>0.19476990903707661</v>
      </c>
      <c r="G58">
        <v>5.3412462908011861E-2</v>
      </c>
    </row>
  </sheetData>
  <mergeCells count="20">
    <mergeCell ref="T48:T52"/>
    <mergeCell ref="U48:U52"/>
    <mergeCell ref="T53:T57"/>
    <mergeCell ref="U53:U57"/>
    <mergeCell ref="U33:U37"/>
    <mergeCell ref="T38:T42"/>
    <mergeCell ref="U38:U42"/>
    <mergeCell ref="T43:T47"/>
    <mergeCell ref="U43:U47"/>
    <mergeCell ref="T8:T12"/>
    <mergeCell ref="U8:U12"/>
    <mergeCell ref="T13:T17"/>
    <mergeCell ref="U13:U17"/>
    <mergeCell ref="T18:T22"/>
    <mergeCell ref="U18:U22"/>
    <mergeCell ref="T23:T27"/>
    <mergeCell ref="U23:U27"/>
    <mergeCell ref="T28:T32"/>
    <mergeCell ref="U28:U32"/>
    <mergeCell ref="T33:T37"/>
  </mergeCells>
  <dataValidations count="1">
    <dataValidation type="list" showInputMessage="1" showErrorMessage="1" sqref="N3:N12">
      <formula1>$A$22:$A$32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DMST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2014-09-12T01:35:45Z</dcterms:created>
  <dcterms:modified xsi:type="dcterms:W3CDTF">2022-03-31T01:37:19Z</dcterms:modified>
</cp:coreProperties>
</file>